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1100" yWindow="0" windowWidth="25600" windowHeight="17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7" i="1"/>
  <c r="E6" i="1"/>
  <c r="E5" i="1"/>
  <c r="E4" i="1"/>
</calcChain>
</file>

<file path=xl/sharedStrings.xml><?xml version="1.0" encoding="utf-8"?>
<sst xmlns="http://schemas.openxmlformats.org/spreadsheetml/2006/main" count="148" uniqueCount="53">
  <si>
    <t>Figure</t>
  </si>
  <si>
    <t>Panel</t>
  </si>
  <si>
    <t>Description</t>
  </si>
  <si>
    <t>Statistical Test</t>
  </si>
  <si>
    <t>N</t>
  </si>
  <si>
    <t>p-value</t>
  </si>
  <si>
    <t>Figure 1</t>
  </si>
  <si>
    <t>B</t>
  </si>
  <si>
    <t>Number of Detected Slow Oscillations Per Animal</t>
  </si>
  <si>
    <t>Rat 1</t>
  </si>
  <si>
    <t>Rat 2</t>
  </si>
  <si>
    <t>Rat 3</t>
  </si>
  <si>
    <t>Rat 4</t>
  </si>
  <si>
    <t>Number of Detected Spindles Per Animal</t>
  </si>
  <si>
    <t>Figure 2</t>
  </si>
  <si>
    <t>E</t>
  </si>
  <si>
    <t>2 Sample KS-Test</t>
  </si>
  <si>
    <t xml:space="preserve"> Is Phase Locking Value during Spindles  Significantly Different than During Random Epochs?</t>
  </si>
  <si>
    <t>99 neurons</t>
  </si>
  <si>
    <t>Figure 3</t>
  </si>
  <si>
    <t>C</t>
  </si>
  <si>
    <t>Grouped Spike Rate</t>
  </si>
  <si>
    <t>RAND vs. TAIL</t>
  </si>
  <si>
    <t>RAND vs. PEAK</t>
  </si>
  <si>
    <t>TAIL vs. PEAK</t>
  </si>
  <si>
    <t>Repeated Measures ANOVA</t>
  </si>
  <si>
    <t>1 Sample t-test</t>
  </si>
  <si>
    <t>Grouped Preferred Spindle Phase</t>
  </si>
  <si>
    <t>N/A</t>
  </si>
  <si>
    <t>Grouped Phase Locking Value</t>
  </si>
  <si>
    <t>D</t>
  </si>
  <si>
    <t>In PEAK: PLV vs. Spike Rate</t>
  </si>
  <si>
    <t>Pearson Correlation Coefficient</t>
  </si>
  <si>
    <t>PEAK-TAIL: ΔPLV vs. ΔSpike Rate</t>
  </si>
  <si>
    <t>Figure 4</t>
  </si>
  <si>
    <t>1508 pairs</t>
  </si>
  <si>
    <t>Figure 4 - Figure Supplement 1</t>
  </si>
  <si>
    <t>Grouped Corrected Peak Cofiring Probability</t>
  </si>
  <si>
    <t>Grouped Corrected Time of Peak Cofiring</t>
  </si>
  <si>
    <t>Grouped Raw Peak Cofiring Probability</t>
  </si>
  <si>
    <t>Grouped Raw Time of Peak Cofiring</t>
  </si>
  <si>
    <t>Figure 5</t>
  </si>
  <si>
    <t>10 bins</t>
  </si>
  <si>
    <t>Regression Fit (p-val for full model)</t>
  </si>
  <si>
    <t>intercept</t>
  </si>
  <si>
    <t>slope</t>
  </si>
  <si>
    <t>r2</t>
  </si>
  <si>
    <r>
      <t xml:space="preserve">Trend in </t>
    </r>
    <r>
      <rPr>
        <b/>
        <sz val="12"/>
        <color theme="1"/>
        <rFont val="Calibri"/>
        <family val="2"/>
        <scheme val="minor"/>
      </rPr>
      <t>Standard Deviation</t>
    </r>
    <r>
      <rPr>
        <sz val="12"/>
        <color theme="1"/>
        <rFont val="Calibri"/>
        <family val="2"/>
        <scheme val="minor"/>
      </rPr>
      <t xml:space="preserve"> Peak Cofiring Probability Across Spindle Bins (Time Relative to Slow Oscillations)</t>
    </r>
  </si>
  <si>
    <r>
      <t xml:space="preserve">Trend in </t>
    </r>
    <r>
      <rPr>
        <b/>
        <sz val="12"/>
        <color theme="1"/>
        <rFont val="Calibri"/>
        <family val="2"/>
        <scheme val="minor"/>
      </rPr>
      <t>Mean</t>
    </r>
    <r>
      <rPr>
        <sz val="12"/>
        <color theme="1"/>
        <rFont val="Calibri"/>
        <family val="2"/>
        <scheme val="minor"/>
      </rPr>
      <t xml:space="preserve"> Peak Cofiring Probability Across Spindle Bins (Time Relative to Slow Oscillations)</t>
    </r>
  </si>
  <si>
    <t>Two-Sample Kolmogorov–Smirnov Test</t>
  </si>
  <si>
    <t>Test for differences in Peak Cofiring Probability CDFs Between Spindles Closest to (0-1.5s), and Farthest from (4.5-6s), Slow Oscillations</t>
  </si>
  <si>
    <t>Test for differences in Peak Cofiring Probability CDFs During Spindle PEAKs and Random Epochs</t>
  </si>
  <si>
    <t>Test for differences in Time of Peak Cofiring Probability CDFs During Spindle PEAKs and Random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</si>
</sst>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applyAlignment="1">
      <alignment horizontal="center" wrapText="1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37" workbookViewId="0">
      <selection activeCell="C61" sqref="C61"/>
    </sheetView>
  </sheetViews>
  <sheetFormatPr baseColWidth="10" defaultRowHeight="15" x14ac:dyDescent="0"/>
  <cols>
    <col min="1" max="1" width="15.5" customWidth="1"/>
    <col min="3" max="3" width="38.33203125" customWidth="1"/>
    <col min="4" max="4" width="18.832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/>
    <row r="3" spans="1:6" ht="36" customHeight="1">
      <c r="A3" t="s">
        <v>6</v>
      </c>
      <c r="B3" t="s">
        <v>7</v>
      </c>
      <c r="C3" s="1" t="s">
        <v>8</v>
      </c>
    </row>
    <row r="4" spans="1:6">
      <c r="C4" s="5" t="s">
        <v>9</v>
      </c>
      <c r="E4">
        <f>573+439</f>
        <v>1012</v>
      </c>
    </row>
    <row r="5" spans="1:6">
      <c r="C5" s="5" t="s">
        <v>10</v>
      </c>
      <c r="E5">
        <f>544+416</f>
        <v>960</v>
      </c>
    </row>
    <row r="6" spans="1:6">
      <c r="C6" s="5" t="s">
        <v>11</v>
      </c>
      <c r="E6">
        <f>158+261</f>
        <v>419</v>
      </c>
    </row>
    <row r="7" spans="1:6">
      <c r="C7" s="5" t="s">
        <v>12</v>
      </c>
      <c r="E7">
        <f>102+312</f>
        <v>414</v>
      </c>
    </row>
    <row r="9" spans="1:6">
      <c r="C9" s="1" t="s">
        <v>13</v>
      </c>
    </row>
    <row r="10" spans="1:6">
      <c r="C10" s="5" t="s">
        <v>9</v>
      </c>
      <c r="E10">
        <f>418+596</f>
        <v>1014</v>
      </c>
    </row>
    <row r="11" spans="1:6">
      <c r="C11" s="5" t="s">
        <v>10</v>
      </c>
      <c r="E11">
        <f>419+261</f>
        <v>680</v>
      </c>
    </row>
    <row r="12" spans="1:6">
      <c r="C12" s="5" t="s">
        <v>11</v>
      </c>
      <c r="E12">
        <f>135+281</f>
        <v>416</v>
      </c>
    </row>
    <row r="13" spans="1:6">
      <c r="C13" s="5" t="s">
        <v>12</v>
      </c>
      <c r="E13">
        <f>101+261</f>
        <v>362</v>
      </c>
    </row>
    <row r="14" spans="1:6" s="3" customFormat="1"/>
    <row r="15" spans="1:6" ht="45">
      <c r="A15" t="s">
        <v>14</v>
      </c>
      <c r="B15" t="s">
        <v>15</v>
      </c>
      <c r="C15" s="1" t="s">
        <v>17</v>
      </c>
      <c r="D15" t="s">
        <v>16</v>
      </c>
      <c r="E15" t="s">
        <v>18</v>
      </c>
      <c r="F15" s="6">
        <v>1.02E-14</v>
      </c>
    </row>
    <row r="16" spans="1:6" s="3" customFormat="1"/>
    <row r="17" spans="1:6" ht="30">
      <c r="A17" t="s">
        <v>19</v>
      </c>
      <c r="B17" t="s">
        <v>20</v>
      </c>
      <c r="C17" s="7" t="s">
        <v>21</v>
      </c>
      <c r="D17" s="4" t="s">
        <v>25</v>
      </c>
      <c r="E17" t="s">
        <v>18</v>
      </c>
      <c r="F17" s="6">
        <v>6.2829999999999998E-7</v>
      </c>
    </row>
    <row r="18" spans="1:6">
      <c r="C18" s="5" t="s">
        <v>22</v>
      </c>
      <c r="D18" t="s">
        <v>26</v>
      </c>
      <c r="E18" t="s">
        <v>18</v>
      </c>
      <c r="F18" s="6">
        <v>6.6110000000000002E-5</v>
      </c>
    </row>
    <row r="19" spans="1:6">
      <c r="C19" s="5" t="s">
        <v>24</v>
      </c>
      <c r="D19" t="s">
        <v>26</v>
      </c>
      <c r="E19" t="s">
        <v>18</v>
      </c>
      <c r="F19" s="6">
        <v>2.1359999999999999E-3</v>
      </c>
    </row>
    <row r="20" spans="1:6">
      <c r="C20" s="5" t="s">
        <v>23</v>
      </c>
      <c r="D20" t="s">
        <v>26</v>
      </c>
      <c r="E20" t="s">
        <v>18</v>
      </c>
      <c r="F20" s="6">
        <v>1.2239999999999999E-4</v>
      </c>
    </row>
    <row r="21" spans="1:6" ht="30">
      <c r="C21" s="7" t="s">
        <v>27</v>
      </c>
      <c r="D21" s="4" t="s">
        <v>25</v>
      </c>
      <c r="E21" t="s">
        <v>18</v>
      </c>
      <c r="F21" s="6">
        <v>0.81679999999999997</v>
      </c>
    </row>
    <row r="22" spans="1:6">
      <c r="C22" s="5" t="s">
        <v>22</v>
      </c>
      <c r="D22" t="s">
        <v>26</v>
      </c>
      <c r="E22" t="s">
        <v>28</v>
      </c>
      <c r="F22" t="s">
        <v>28</v>
      </c>
    </row>
    <row r="23" spans="1:6">
      <c r="C23" s="5" t="s">
        <v>24</v>
      </c>
      <c r="D23" t="s">
        <v>26</v>
      </c>
      <c r="E23" t="s">
        <v>28</v>
      </c>
      <c r="F23" t="s">
        <v>28</v>
      </c>
    </row>
    <row r="24" spans="1:6">
      <c r="C24" s="5" t="s">
        <v>23</v>
      </c>
      <c r="D24" t="s">
        <v>26</v>
      </c>
      <c r="E24" t="s">
        <v>28</v>
      </c>
      <c r="F24" t="s">
        <v>28</v>
      </c>
    </row>
    <row r="25" spans="1:6" ht="30">
      <c r="C25" s="7" t="s">
        <v>29</v>
      </c>
      <c r="D25" s="4" t="s">
        <v>25</v>
      </c>
      <c r="E25" t="s">
        <v>18</v>
      </c>
      <c r="F25" s="6">
        <v>1.2980000000000001E-42</v>
      </c>
    </row>
    <row r="26" spans="1:6">
      <c r="C26" s="5" t="s">
        <v>22</v>
      </c>
      <c r="D26" t="s">
        <v>26</v>
      </c>
      <c r="E26" t="s">
        <v>18</v>
      </c>
      <c r="F26" s="6">
        <v>6.5740000000000004E-4</v>
      </c>
    </row>
    <row r="27" spans="1:6">
      <c r="C27" s="5" t="s">
        <v>24</v>
      </c>
      <c r="D27" t="s">
        <v>26</v>
      </c>
      <c r="E27" t="s">
        <v>18</v>
      </c>
      <c r="F27" s="6">
        <v>4.2989999999999998E-25</v>
      </c>
    </row>
    <row r="28" spans="1:6">
      <c r="C28" s="5" t="s">
        <v>23</v>
      </c>
      <c r="D28" t="s">
        <v>26</v>
      </c>
      <c r="E28" t="s">
        <v>18</v>
      </c>
      <c r="F28" s="6">
        <v>1.686E-26</v>
      </c>
    </row>
    <row r="30" spans="1:6" ht="31" customHeight="1">
      <c r="B30" t="s">
        <v>30</v>
      </c>
      <c r="C30" s="5" t="s">
        <v>31</v>
      </c>
      <c r="D30" s="4" t="s">
        <v>32</v>
      </c>
      <c r="E30" t="s">
        <v>18</v>
      </c>
      <c r="F30" s="6">
        <v>0.90500000000000003</v>
      </c>
    </row>
    <row r="31" spans="1:6" ht="30">
      <c r="C31" s="5" t="s">
        <v>33</v>
      </c>
      <c r="D31" s="4" t="s">
        <v>32</v>
      </c>
      <c r="E31" t="s">
        <v>18</v>
      </c>
      <c r="F31" s="6">
        <v>3.6000000000000002E-4</v>
      </c>
    </row>
    <row r="32" spans="1:6" s="3" customFormat="1"/>
    <row r="33" spans="1:6" ht="30">
      <c r="A33" t="s">
        <v>34</v>
      </c>
      <c r="B33" t="s">
        <v>30</v>
      </c>
      <c r="C33" s="7" t="s">
        <v>37</v>
      </c>
      <c r="D33" s="4" t="s">
        <v>25</v>
      </c>
      <c r="E33" t="s">
        <v>35</v>
      </c>
      <c r="F33" s="6">
        <v>1.02E-21</v>
      </c>
    </row>
    <row r="34" spans="1:6">
      <c r="C34" s="5" t="s">
        <v>22</v>
      </c>
      <c r="D34" t="s">
        <v>26</v>
      </c>
      <c r="E34" t="s">
        <v>35</v>
      </c>
      <c r="F34" s="6">
        <v>3.2000000000000001E-2</v>
      </c>
    </row>
    <row r="35" spans="1:6">
      <c r="C35" s="5" t="s">
        <v>24</v>
      </c>
      <c r="D35" t="s">
        <v>26</v>
      </c>
      <c r="E35" t="s">
        <v>35</v>
      </c>
      <c r="F35" s="6">
        <v>6.3020000000000006E-14</v>
      </c>
    </row>
    <row r="36" spans="1:6">
      <c r="C36" s="5" t="s">
        <v>23</v>
      </c>
      <c r="D36" t="s">
        <v>26</v>
      </c>
      <c r="E36" t="s">
        <v>35</v>
      </c>
      <c r="F36" s="6">
        <v>3.265E-18</v>
      </c>
    </row>
    <row r="37" spans="1:6" ht="30">
      <c r="C37" s="7" t="s">
        <v>38</v>
      </c>
      <c r="D37" s="4" t="s">
        <v>25</v>
      </c>
      <c r="E37" t="s">
        <v>35</v>
      </c>
      <c r="F37" s="6">
        <v>5.6169999999999996E-23</v>
      </c>
    </row>
    <row r="38" spans="1:6">
      <c r="C38" s="5" t="s">
        <v>22</v>
      </c>
      <c r="D38" t="s">
        <v>26</v>
      </c>
      <c r="E38" t="s">
        <v>35</v>
      </c>
      <c r="F38" s="6">
        <v>5.4999999999999997E-3</v>
      </c>
    </row>
    <row r="39" spans="1:6">
      <c r="C39" s="5" t="s">
        <v>24</v>
      </c>
      <c r="D39" t="s">
        <v>26</v>
      </c>
      <c r="E39" t="s">
        <v>35</v>
      </c>
      <c r="F39" s="6">
        <v>2.13E-12</v>
      </c>
    </row>
    <row r="40" spans="1:6">
      <c r="C40" s="5" t="s">
        <v>23</v>
      </c>
      <c r="D40" t="s">
        <v>26</v>
      </c>
      <c r="E40" t="s">
        <v>35</v>
      </c>
      <c r="F40" s="6">
        <v>3.0920000000000002E-23</v>
      </c>
    </row>
    <row r="41" spans="1:6" ht="45">
      <c r="B41" t="s">
        <v>15</v>
      </c>
      <c r="C41" s="10" t="s">
        <v>51</v>
      </c>
      <c r="D41" s="4" t="s">
        <v>49</v>
      </c>
      <c r="E41" t="s">
        <v>35</v>
      </c>
      <c r="F41" s="6">
        <v>8.03E-5</v>
      </c>
    </row>
    <row r="42" spans="1:6" ht="45">
      <c r="C42" s="10" t="s">
        <v>52</v>
      </c>
      <c r="D42" s="4" t="s">
        <v>49</v>
      </c>
      <c r="E42" t="s">
        <v>35</v>
      </c>
      <c r="F42" s="6">
        <v>1.6299999999999999E-12</v>
      </c>
    </row>
    <row r="43" spans="1:6" s="3" customFormat="1"/>
    <row r="44" spans="1:6" ht="30">
      <c r="A44" s="4" t="s">
        <v>36</v>
      </c>
      <c r="B44" t="s">
        <v>30</v>
      </c>
      <c r="C44" s="7" t="s">
        <v>39</v>
      </c>
      <c r="D44" s="4" t="s">
        <v>25</v>
      </c>
      <c r="E44" t="s">
        <v>35</v>
      </c>
      <c r="F44" s="6">
        <v>9.0810000000000007E-167</v>
      </c>
    </row>
    <row r="45" spans="1:6">
      <c r="C45" s="5" t="s">
        <v>22</v>
      </c>
      <c r="D45" t="s">
        <v>26</v>
      </c>
      <c r="E45" t="s">
        <v>35</v>
      </c>
      <c r="F45" s="6">
        <v>2.2E-32</v>
      </c>
    </row>
    <row r="46" spans="1:6">
      <c r="C46" s="5" t="s">
        <v>24</v>
      </c>
      <c r="D46" t="s">
        <v>26</v>
      </c>
      <c r="E46" t="s">
        <v>35</v>
      </c>
      <c r="F46" s="6">
        <v>1.02E-85</v>
      </c>
    </row>
    <row r="47" spans="1:6">
      <c r="C47" s="5" t="s">
        <v>23</v>
      </c>
      <c r="D47" t="s">
        <v>26</v>
      </c>
      <c r="E47" t="s">
        <v>35</v>
      </c>
      <c r="F47" s="6">
        <v>1.4770000000000001E-100</v>
      </c>
    </row>
    <row r="48" spans="1:6" ht="30">
      <c r="C48" s="7" t="s">
        <v>40</v>
      </c>
      <c r="D48" s="4" t="s">
        <v>25</v>
      </c>
      <c r="E48" t="s">
        <v>35</v>
      </c>
      <c r="F48" s="6">
        <v>4.9280000000000001E-27</v>
      </c>
    </row>
    <row r="49" spans="1:7">
      <c r="C49" s="5" t="s">
        <v>22</v>
      </c>
      <c r="D49" t="s">
        <v>26</v>
      </c>
      <c r="E49" t="s">
        <v>35</v>
      </c>
      <c r="F49" s="6">
        <v>1.0240000000000001E-6</v>
      </c>
    </row>
    <row r="50" spans="1:7">
      <c r="C50" s="5" t="s">
        <v>24</v>
      </c>
      <c r="D50" t="s">
        <v>26</v>
      </c>
      <c r="E50" t="s">
        <v>35</v>
      </c>
      <c r="F50" s="6">
        <v>3.3969999999999997E-10</v>
      </c>
    </row>
    <row r="51" spans="1:7">
      <c r="C51" s="5" t="s">
        <v>23</v>
      </c>
      <c r="D51" t="s">
        <v>26</v>
      </c>
      <c r="E51" t="s">
        <v>35</v>
      </c>
      <c r="F51" s="6">
        <v>2.113E-26</v>
      </c>
    </row>
    <row r="52" spans="1:7" s="3" customFormat="1"/>
    <row r="53" spans="1:7" ht="48" customHeight="1">
      <c r="A53" t="s">
        <v>41</v>
      </c>
      <c r="B53" t="s">
        <v>20</v>
      </c>
      <c r="C53" s="1" t="s">
        <v>48</v>
      </c>
      <c r="D53" s="8" t="s">
        <v>43</v>
      </c>
      <c r="E53" t="s">
        <v>42</v>
      </c>
      <c r="F53" s="6">
        <v>7.0199999999999999E-2</v>
      </c>
    </row>
    <row r="54" spans="1:7">
      <c r="D54" s="5" t="s">
        <v>44</v>
      </c>
      <c r="G54" s="6">
        <v>1.47E-2</v>
      </c>
    </row>
    <row r="55" spans="1:7">
      <c r="D55" s="5" t="s">
        <v>45</v>
      </c>
      <c r="G55" s="6">
        <v>-7.0300000000000001E-5</v>
      </c>
    </row>
    <row r="56" spans="1:7">
      <c r="D56" s="5" t="s">
        <v>46</v>
      </c>
      <c r="G56">
        <v>0.35</v>
      </c>
    </row>
    <row r="57" spans="1:7" ht="45">
      <c r="C57" s="1" t="s">
        <v>47</v>
      </c>
      <c r="D57" s="8" t="s">
        <v>43</v>
      </c>
      <c r="E57" t="s">
        <v>42</v>
      </c>
      <c r="F57" s="6">
        <v>7.5199999999999998E-8</v>
      </c>
    </row>
    <row r="58" spans="1:7">
      <c r="D58" s="5" t="s">
        <v>44</v>
      </c>
      <c r="G58" s="6">
        <v>6.4999999999999997E-3</v>
      </c>
    </row>
    <row r="59" spans="1:7">
      <c r="D59" s="5" t="s">
        <v>45</v>
      </c>
      <c r="G59" s="6">
        <v>4.0999999999999999E-4</v>
      </c>
    </row>
    <row r="60" spans="1:7">
      <c r="D60" s="5" t="s">
        <v>46</v>
      </c>
      <c r="G60" s="9">
        <v>0.92800000000000005</v>
      </c>
    </row>
    <row r="61" spans="1:7" ht="60">
      <c r="B61" t="s">
        <v>30</v>
      </c>
      <c r="C61" s="10" t="s">
        <v>50</v>
      </c>
      <c r="D61" s="4" t="s">
        <v>49</v>
      </c>
      <c r="E61" t="s">
        <v>35</v>
      </c>
      <c r="F61" s="6">
        <v>3.9799999999999998E-5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2018-09-19T18:05:11Z</dcterms:created>
  <dcterms:modified xsi:type="dcterms:W3CDTF">2018-10-11T23:02:55Z</dcterms:modified>
</cp:coreProperties>
</file>